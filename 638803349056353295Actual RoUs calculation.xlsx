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shi Mahanta\Downloads\Jeyavishnu clothing\"/>
    </mc:Choice>
  </mc:AlternateContent>
  <xr:revisionPtr revIDLastSave="0" documentId="13_ncr:1_{773AF469-421B-4121-816C-1BBA6A58A0C6}" xr6:coauthVersionLast="47" xr6:coauthVersionMax="47" xr10:uidLastSave="{00000000-0000-0000-0000-000000000000}"/>
  <bookViews>
    <workbookView xWindow="-110" yWindow="-110" windowWidth="19420" windowHeight="10300" activeTab="2" xr2:uid="{6EF43CFC-85DF-4F0F-98A4-9347E1F00E7C}"/>
  </bookViews>
  <sheets>
    <sheet name="Cover" sheetId="2" r:id="rId1"/>
    <sheet name="RoUs" sheetId="1" r:id="rId2"/>
    <sheet name="Year Wi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" l="1"/>
  <c r="E17" i="3"/>
  <c r="E16" i="3"/>
  <c r="E15" i="3"/>
  <c r="E14" i="3"/>
  <c r="E13" i="3"/>
  <c r="E12" i="3"/>
  <c r="E11" i="3"/>
  <c r="E10" i="3"/>
  <c r="E9" i="3"/>
  <c r="E8" i="3"/>
  <c r="E7" i="3"/>
  <c r="G112" i="1"/>
  <c r="G100" i="1"/>
  <c r="G88" i="1"/>
  <c r="G76" i="1"/>
  <c r="G64" i="1"/>
  <c r="G52" i="1"/>
  <c r="G40" i="1"/>
  <c r="G28" i="1"/>
  <c r="G16" i="1"/>
  <c r="G4" i="1"/>
  <c r="F136" i="1"/>
  <c r="G12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4" i="1"/>
  <c r="E136" i="1"/>
  <c r="D136" i="1"/>
  <c r="C10" i="1"/>
  <c r="C8" i="1"/>
  <c r="C7" i="1"/>
  <c r="C136" i="1" s="1"/>
  <c r="G1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IETP</author>
  </authors>
  <commentList>
    <comment ref="C3" authorId="0" shapeId="0" xr:uid="{44299C48-F908-4DE0-A1EF-553A3A4AACED}">
      <text>
        <r>
          <rPr>
            <b/>
            <sz val="9"/>
            <color indexed="81"/>
            <rFont val="Tahoma"/>
            <family val="2"/>
          </rPr>
          <t>IETP:</t>
        </r>
        <r>
          <rPr>
            <sz val="9"/>
            <color indexed="81"/>
            <rFont val="Tahoma"/>
            <family val="2"/>
          </rPr>
          <t xml:space="preserve">
PRINTING RO + PROCESS INLET</t>
        </r>
      </text>
    </comment>
    <comment ref="D3" authorId="0" shapeId="0" xr:uid="{9DF4DAC5-FDCD-4E3C-B752-A7B2DB65CD07}">
      <text>
        <r>
          <rPr>
            <b/>
            <sz val="9"/>
            <color indexed="81"/>
            <rFont val="Tahoma"/>
            <family val="2"/>
          </rPr>
          <t>IETP:</t>
        </r>
        <r>
          <rPr>
            <sz val="9"/>
            <color indexed="81"/>
            <rFont val="Tahoma"/>
            <family val="2"/>
          </rPr>
          <t xml:space="preserve">
ETP FEED (WITHOUT BACKWASH)</t>
        </r>
      </text>
    </comment>
    <comment ref="E3" authorId="0" shapeId="0" xr:uid="{1C323E3C-C006-436E-A795-1A0E9BA9D6EE}">
      <text>
        <r>
          <rPr>
            <b/>
            <sz val="9"/>
            <color indexed="81"/>
            <rFont val="Tahoma"/>
            <family val="2"/>
          </rPr>
          <t>IETP:</t>
        </r>
        <r>
          <rPr>
            <sz val="9"/>
            <color indexed="81"/>
            <rFont val="Tahoma"/>
            <family val="2"/>
          </rPr>
          <t xml:space="preserve">
RO PERM + MEE COND</t>
        </r>
      </text>
    </comment>
  </commentList>
</comments>
</file>

<file path=xl/sharedStrings.xml><?xml version="1.0" encoding="utf-8"?>
<sst xmlns="http://schemas.openxmlformats.org/spreadsheetml/2006/main" count="18" uniqueCount="18">
  <si>
    <t>JEYAVISHNU CLOTHING PRIVATE LTD</t>
  </si>
  <si>
    <t>DAILY FLOW DETAILS FROM YEAR ( 2014 TO 2024 )</t>
  </si>
  <si>
    <t>MONTH &amp; YEAR</t>
  </si>
  <si>
    <t xml:space="preserve">INLET FLOW M3/DAY </t>
  </si>
  <si>
    <t>OUTLET ETP FLOW  M3/DAY</t>
  </si>
  <si>
    <t>TREATED WATER M3/DAY</t>
  </si>
  <si>
    <t>TOTAL</t>
  </si>
  <si>
    <t>RoUs</t>
  </si>
  <si>
    <t>Year</t>
  </si>
  <si>
    <t>Total ROUs</t>
  </si>
  <si>
    <t>(1000 liters)/yr</t>
  </si>
  <si>
    <t>UCR Cap (1 million RoUs/yr</t>
  </si>
  <si>
    <t>Total RoUs</t>
  </si>
  <si>
    <t>Year wise</t>
  </si>
  <si>
    <t>SL NO</t>
  </si>
  <si>
    <t>According to the RoU Standard,  PP has accounted  1% each as the uncertainty factor in  inflow
 and outflow volumes to be conservative. Hence an uncertainity factor of 0.98 is applied to all ROUs.</t>
  </si>
  <si>
    <t xml:space="preserve">Jeyavishnu Wastewater Recycle &amp; Reuse Project, Tirupur 
</t>
  </si>
  <si>
    <t>UWR RoU Scope: 5 
Monitoring Period: 01/01/2014-31/12/2024
Crediting Period: 2014-2024
UNDP Human Development Indicator:0.644(India)
Uncertainty factor : 0.98
RoUs Generated During 1st Monitoring Period: 01/01/2014-31/12/2024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</si>
</sst>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u/>
      <sz val="10"/>
      <color theme="1"/>
      <name val="Palatino Linotype"/>
      <family val="1"/>
    </font>
    <font>
      <b/>
      <sz val="10"/>
      <color theme="1"/>
      <name val="Palatino Linotype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Times New Roman"/>
      <family val="1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4" xfId="0" applyBorder="1"/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7" fillId="3" borderId="11" xfId="0" applyNumberFormat="1" applyFont="1" applyFill="1" applyBorder="1" applyAlignment="1">
      <alignment horizontal="center" vertical="center"/>
    </xf>
    <xf numFmtId="0" fontId="0" fillId="2" borderId="0" xfId="0" applyFill="1"/>
    <xf numFmtId="0" fontId="5" fillId="0" borderId="1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" fontId="5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" fontId="5" fillId="2" borderId="3" xfId="0" applyNumberFormat="1" applyFont="1" applyFill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" fontId="5" fillId="2" borderId="2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6" xfId="0" applyNumberFormat="1" applyFont="1" applyFill="1" applyBorder="1" applyAlignment="1">
      <alignment horizontal="center" vertical="center"/>
    </xf>
    <xf numFmtId="0" fontId="8" fillId="0" borderId="1" xfId="0" applyFont="1" applyBorder="1"/>
    <xf numFmtId="17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/>
    <xf numFmtId="0" fontId="8" fillId="4" borderId="1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wrapText="1"/>
    </xf>
    <xf numFmtId="0" fontId="10" fillId="6" borderId="20" xfId="0" applyFont="1" applyFill="1" applyBorder="1" applyAlignment="1">
      <alignment horizontal="center" wrapText="1"/>
    </xf>
    <xf numFmtId="0" fontId="10" fillId="6" borderId="9" xfId="0" applyFont="1" applyFill="1" applyBorder="1" applyAlignment="1">
      <alignment horizontal="center" wrapText="1"/>
    </xf>
    <xf numFmtId="0" fontId="10" fillId="6" borderId="21" xfId="0" applyFont="1" applyFill="1" applyBorder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0" fillId="6" borderId="10" xfId="0" applyFont="1" applyFill="1" applyBorder="1" applyAlignment="1">
      <alignment horizontal="center" wrapText="1"/>
    </xf>
    <xf numFmtId="0" fontId="10" fillId="6" borderId="22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0" fontId="10" fillId="6" borderId="11" xfId="0" applyFont="1" applyFill="1" applyBorder="1" applyAlignment="1">
      <alignment horizontal="center" wrapText="1"/>
    </xf>
    <xf numFmtId="0" fontId="9" fillId="7" borderId="21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0" fillId="5" borderId="19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7833-02CB-416A-A903-B94E140B925C}">
  <dimension ref="D2:Q17"/>
  <sheetViews>
    <sheetView workbookViewId="0">
      <selection activeCell="D7" sqref="D7:Q17"/>
    </sheetView>
  </sheetViews>
  <sheetFormatPr defaultRowHeight="14.5" x14ac:dyDescent="0.35"/>
  <sheetData>
    <row r="2" spans="4:17" ht="15" thickBot="1" x14ac:dyDescent="0.4"/>
    <row r="3" spans="4:17" ht="14.5" customHeight="1" x14ac:dyDescent="0.35">
      <c r="D3" s="38" t="s">
        <v>16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</row>
    <row r="4" spans="4:17" ht="14.5" customHeight="1" x14ac:dyDescent="0.35"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3"/>
    </row>
    <row r="5" spans="4:17" ht="14.5" customHeight="1" x14ac:dyDescent="0.35">
      <c r="D5" s="41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3"/>
    </row>
    <row r="6" spans="4:17" ht="14.5" customHeight="1" thickBot="1" x14ac:dyDescent="0.4">
      <c r="D6" s="44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6"/>
    </row>
    <row r="7" spans="4:17" ht="14.5" customHeight="1" x14ac:dyDescent="0.35">
      <c r="D7" s="47" t="s">
        <v>17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9"/>
    </row>
    <row r="8" spans="4:17" ht="14.5" customHeight="1" x14ac:dyDescent="0.35">
      <c r="D8" s="47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9"/>
    </row>
    <row r="9" spans="4:17" ht="14.5" customHeight="1" x14ac:dyDescent="0.35">
      <c r="D9" s="47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9"/>
    </row>
    <row r="10" spans="4:17" ht="14.5" customHeight="1" x14ac:dyDescent="0.35">
      <c r="D10" s="47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9"/>
    </row>
    <row r="11" spans="4:17" ht="14.5" customHeight="1" x14ac:dyDescent="0.35">
      <c r="D11" s="47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9"/>
    </row>
    <row r="12" spans="4:17" ht="14.5" customHeight="1" x14ac:dyDescent="0.35">
      <c r="D12" s="47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9"/>
    </row>
    <row r="13" spans="4:17" ht="14.5" customHeight="1" x14ac:dyDescent="0.35">
      <c r="D13" s="47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9"/>
    </row>
    <row r="14" spans="4:17" ht="14.5" customHeight="1" x14ac:dyDescent="0.35"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9"/>
    </row>
    <row r="15" spans="4:17" ht="14.5" customHeight="1" x14ac:dyDescent="0.35">
      <c r="D15" s="47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</row>
    <row r="16" spans="4:17" ht="14.5" customHeight="1" x14ac:dyDescent="0.35">
      <c r="D16" s="47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</row>
    <row r="17" spans="4:17" ht="15" customHeight="1" thickBot="1" x14ac:dyDescent="0.4">
      <c r="D17" s="50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</row>
  </sheetData>
  <mergeCells count="2">
    <mergeCell ref="D3:Q6"/>
    <mergeCell ref="D7:Q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70DA-5902-4B48-8B0F-220761DB17DD}">
  <dimension ref="A1:Q136"/>
  <sheetViews>
    <sheetView topLeftCell="B4" workbookViewId="0">
      <selection activeCell="H131" sqref="H131"/>
    </sheetView>
  </sheetViews>
  <sheetFormatPr defaultRowHeight="14.5" x14ac:dyDescent="0.35"/>
  <cols>
    <col min="1" max="1" width="5.7265625" customWidth="1"/>
    <col min="2" max="2" width="13.81640625" customWidth="1"/>
    <col min="3" max="3" width="15.6328125" customWidth="1"/>
    <col min="4" max="4" width="13.453125" customWidth="1"/>
    <col min="5" max="5" width="11.26953125" customWidth="1"/>
    <col min="6" max="6" width="12.1796875" customWidth="1"/>
  </cols>
  <sheetData>
    <row r="1" spans="1:17" x14ac:dyDescent="0.35">
      <c r="A1" s="72" t="s">
        <v>0</v>
      </c>
      <c r="B1" s="72"/>
      <c r="C1" s="72"/>
      <c r="D1" s="72"/>
      <c r="E1" s="72"/>
      <c r="F1" s="72"/>
    </row>
    <row r="2" spans="1:17" x14ac:dyDescent="0.35">
      <c r="A2" s="73" t="s">
        <v>1</v>
      </c>
      <c r="B2" s="73"/>
      <c r="C2" s="73"/>
      <c r="D2" s="73"/>
      <c r="E2" s="73"/>
      <c r="F2" s="73"/>
    </row>
    <row r="3" spans="1:17" ht="39" x14ac:dyDescent="0.35">
      <c r="A3" s="37" t="s">
        <v>14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7</v>
      </c>
      <c r="G3" s="37" t="s">
        <v>13</v>
      </c>
    </row>
    <row r="4" spans="1:17" ht="15" thickBot="1" x14ac:dyDescent="0.4">
      <c r="A4" s="12">
        <v>1</v>
      </c>
      <c r="B4" s="13">
        <v>41640</v>
      </c>
      <c r="C4" s="14">
        <v>11510</v>
      </c>
      <c r="D4" s="14">
        <v>13069</v>
      </c>
      <c r="E4" s="14">
        <v>13177.83</v>
      </c>
      <c r="F4" s="14">
        <f>E4*0.98</f>
        <v>12914.2734</v>
      </c>
      <c r="G4" s="59">
        <f>SUM(F4:F15)</f>
        <v>202449.69654</v>
      </c>
    </row>
    <row r="5" spans="1:17" x14ac:dyDescent="0.35">
      <c r="A5" s="12">
        <v>2</v>
      </c>
      <c r="B5" s="13">
        <v>41671</v>
      </c>
      <c r="C5" s="14">
        <v>13510</v>
      </c>
      <c r="D5" s="14">
        <v>13105.2</v>
      </c>
      <c r="E5" s="14">
        <v>13086.318000000001</v>
      </c>
      <c r="F5" s="14">
        <f t="shared" ref="F5:F68" si="0">E5*0.98</f>
        <v>12824.591640000001</v>
      </c>
      <c r="G5" s="57"/>
      <c r="I5" s="60" t="s">
        <v>15</v>
      </c>
      <c r="J5" s="61"/>
      <c r="K5" s="61"/>
      <c r="L5" s="61"/>
      <c r="M5" s="61"/>
      <c r="N5" s="61"/>
      <c r="O5" s="61"/>
      <c r="P5" s="61"/>
      <c r="Q5" s="62"/>
    </row>
    <row r="6" spans="1:17" x14ac:dyDescent="0.35">
      <c r="A6" s="12">
        <v>3</v>
      </c>
      <c r="B6" s="13">
        <v>41699</v>
      </c>
      <c r="C6" s="14">
        <v>14371</v>
      </c>
      <c r="D6" s="14">
        <v>13105</v>
      </c>
      <c r="E6" s="14">
        <v>14532</v>
      </c>
      <c r="F6" s="14">
        <f t="shared" si="0"/>
        <v>14241.36</v>
      </c>
      <c r="G6" s="57"/>
      <c r="I6" s="63"/>
      <c r="J6" s="64"/>
      <c r="K6" s="64"/>
      <c r="L6" s="64"/>
      <c r="M6" s="64"/>
      <c r="N6" s="64"/>
      <c r="O6" s="64"/>
      <c r="P6" s="64"/>
      <c r="Q6" s="65"/>
    </row>
    <row r="7" spans="1:17" x14ac:dyDescent="0.35">
      <c r="A7" s="12">
        <v>4</v>
      </c>
      <c r="B7" s="13">
        <v>41730</v>
      </c>
      <c r="C7" s="14">
        <f>10639+6228-1654</f>
        <v>15213</v>
      </c>
      <c r="D7" s="14">
        <v>14635</v>
      </c>
      <c r="E7" s="14">
        <v>15569</v>
      </c>
      <c r="F7" s="14">
        <f t="shared" si="0"/>
        <v>15257.619999999999</v>
      </c>
      <c r="G7" s="57"/>
      <c r="I7" s="63"/>
      <c r="J7" s="64"/>
      <c r="K7" s="64"/>
      <c r="L7" s="64"/>
      <c r="M7" s="64"/>
      <c r="N7" s="64"/>
      <c r="O7" s="64"/>
      <c r="P7" s="64"/>
      <c r="Q7" s="65"/>
    </row>
    <row r="8" spans="1:17" x14ac:dyDescent="0.35">
      <c r="A8" s="12">
        <v>5</v>
      </c>
      <c r="B8" s="13">
        <v>41760</v>
      </c>
      <c r="C8" s="14">
        <f>11549+5993-1624</f>
        <v>15918</v>
      </c>
      <c r="D8" s="14">
        <v>16298</v>
      </c>
      <c r="E8" s="14">
        <v>16620</v>
      </c>
      <c r="F8" s="14">
        <f t="shared" si="0"/>
        <v>16287.6</v>
      </c>
      <c r="G8" s="57"/>
      <c r="I8" s="63"/>
      <c r="J8" s="64"/>
      <c r="K8" s="64"/>
      <c r="L8" s="64"/>
      <c r="M8" s="64"/>
      <c r="N8" s="64"/>
      <c r="O8" s="64"/>
      <c r="P8" s="64"/>
      <c r="Q8" s="65"/>
    </row>
    <row r="9" spans="1:17" x14ac:dyDescent="0.35">
      <c r="A9" s="12">
        <v>6</v>
      </c>
      <c r="B9" s="13">
        <v>41791</v>
      </c>
      <c r="C9" s="14">
        <v>14271</v>
      </c>
      <c r="D9" s="14">
        <v>14305</v>
      </c>
      <c r="E9" s="14">
        <v>14417</v>
      </c>
      <c r="F9" s="14">
        <f t="shared" si="0"/>
        <v>14128.66</v>
      </c>
      <c r="G9" s="57"/>
      <c r="I9" s="63"/>
      <c r="J9" s="64"/>
      <c r="K9" s="64"/>
      <c r="L9" s="64"/>
      <c r="M9" s="64"/>
      <c r="N9" s="64"/>
      <c r="O9" s="64"/>
      <c r="P9" s="64"/>
      <c r="Q9" s="65"/>
    </row>
    <row r="10" spans="1:17" x14ac:dyDescent="0.35">
      <c r="A10" s="12">
        <v>7</v>
      </c>
      <c r="B10" s="13">
        <v>41821</v>
      </c>
      <c r="C10" s="14">
        <f>(11077+5930)-2816</f>
        <v>14191</v>
      </c>
      <c r="D10" s="14">
        <v>14136</v>
      </c>
      <c r="E10" s="14">
        <v>19727</v>
      </c>
      <c r="F10" s="14">
        <f t="shared" si="0"/>
        <v>19332.46</v>
      </c>
      <c r="G10" s="57"/>
      <c r="I10" s="63"/>
      <c r="J10" s="64"/>
      <c r="K10" s="64"/>
      <c r="L10" s="64"/>
      <c r="M10" s="64"/>
      <c r="N10" s="64"/>
      <c r="O10" s="64"/>
      <c r="P10" s="64"/>
      <c r="Q10" s="65"/>
    </row>
    <row r="11" spans="1:17" ht="15" thickBot="1" x14ac:dyDescent="0.4">
      <c r="A11" s="12">
        <v>8</v>
      </c>
      <c r="B11" s="13">
        <v>41852</v>
      </c>
      <c r="C11" s="14">
        <v>11841</v>
      </c>
      <c r="D11" s="14">
        <v>11168</v>
      </c>
      <c r="E11" s="14">
        <v>11105</v>
      </c>
      <c r="F11" s="14">
        <f t="shared" si="0"/>
        <v>10882.9</v>
      </c>
      <c r="G11" s="57"/>
      <c r="I11" s="66"/>
      <c r="J11" s="67"/>
      <c r="K11" s="67"/>
      <c r="L11" s="67"/>
      <c r="M11" s="67"/>
      <c r="N11" s="67"/>
      <c r="O11" s="67"/>
      <c r="P11" s="67"/>
      <c r="Q11" s="68"/>
    </row>
    <row r="12" spans="1:17" x14ac:dyDescent="0.35">
      <c r="A12" s="12">
        <v>9</v>
      </c>
      <c r="B12" s="13">
        <v>41883</v>
      </c>
      <c r="C12" s="14">
        <v>21211</v>
      </c>
      <c r="D12" s="14">
        <v>18921</v>
      </c>
      <c r="E12" s="14">
        <v>18988</v>
      </c>
      <c r="F12" s="14">
        <f t="shared" si="0"/>
        <v>18608.239999999998</v>
      </c>
      <c r="G12" s="57"/>
    </row>
    <row r="13" spans="1:17" x14ac:dyDescent="0.35">
      <c r="A13" s="12">
        <v>10</v>
      </c>
      <c r="B13" s="13">
        <v>41913</v>
      </c>
      <c r="C13" s="14">
        <v>20255</v>
      </c>
      <c r="D13" s="14">
        <v>20070</v>
      </c>
      <c r="E13" s="14">
        <v>20962</v>
      </c>
      <c r="F13" s="14">
        <f t="shared" si="0"/>
        <v>20542.759999999998</v>
      </c>
      <c r="G13" s="57"/>
    </row>
    <row r="14" spans="1:17" x14ac:dyDescent="0.35">
      <c r="A14" s="12">
        <v>11</v>
      </c>
      <c r="B14" s="13">
        <v>41944</v>
      </c>
      <c r="C14" s="14">
        <v>23512.77</v>
      </c>
      <c r="D14" s="14">
        <v>22526</v>
      </c>
      <c r="E14" s="14">
        <v>23845.175000000003</v>
      </c>
      <c r="F14" s="14">
        <f t="shared" si="0"/>
        <v>23368.271500000003</v>
      </c>
      <c r="G14" s="57"/>
    </row>
    <row r="15" spans="1:17" s="1" customFormat="1" ht="15" thickBot="1" x14ac:dyDescent="0.4">
      <c r="A15" s="15">
        <v>12</v>
      </c>
      <c r="B15" s="16">
        <v>41974</v>
      </c>
      <c r="C15" s="17">
        <v>26262</v>
      </c>
      <c r="D15" s="17">
        <v>24776</v>
      </c>
      <c r="E15" s="17">
        <v>24552</v>
      </c>
      <c r="F15" s="17">
        <f t="shared" si="0"/>
        <v>24060.959999999999</v>
      </c>
      <c r="G15" s="74"/>
    </row>
    <row r="16" spans="1:17" x14ac:dyDescent="0.35">
      <c r="A16" s="18">
        <v>13</v>
      </c>
      <c r="B16" s="19">
        <v>42005</v>
      </c>
      <c r="C16" s="20">
        <v>18838</v>
      </c>
      <c r="D16" s="20">
        <v>18131</v>
      </c>
      <c r="E16" s="20">
        <v>18133</v>
      </c>
      <c r="F16" s="21">
        <f t="shared" si="0"/>
        <v>17770.34</v>
      </c>
      <c r="G16" s="53">
        <f>SUM(F16:F27)</f>
        <v>276828.43999999994</v>
      </c>
    </row>
    <row r="17" spans="1:7" x14ac:dyDescent="0.35">
      <c r="A17" s="12">
        <v>14</v>
      </c>
      <c r="B17" s="13">
        <v>42036</v>
      </c>
      <c r="C17" s="14">
        <v>16010</v>
      </c>
      <c r="D17" s="14">
        <v>14973</v>
      </c>
      <c r="E17" s="14">
        <v>14901</v>
      </c>
      <c r="F17" s="22">
        <f t="shared" si="0"/>
        <v>14602.98</v>
      </c>
      <c r="G17" s="54"/>
    </row>
    <row r="18" spans="1:7" x14ac:dyDescent="0.35">
      <c r="A18" s="12">
        <v>15</v>
      </c>
      <c r="B18" s="13">
        <v>42064</v>
      </c>
      <c r="C18" s="14">
        <v>21224</v>
      </c>
      <c r="D18" s="14">
        <v>21576</v>
      </c>
      <c r="E18" s="14">
        <v>21263</v>
      </c>
      <c r="F18" s="22">
        <f t="shared" si="0"/>
        <v>20837.739999999998</v>
      </c>
      <c r="G18" s="54"/>
    </row>
    <row r="19" spans="1:7" x14ac:dyDescent="0.35">
      <c r="A19" s="12">
        <v>16</v>
      </c>
      <c r="B19" s="13">
        <v>42095</v>
      </c>
      <c r="C19" s="14">
        <v>23259</v>
      </c>
      <c r="D19" s="14">
        <v>23760</v>
      </c>
      <c r="E19" s="14">
        <v>23245</v>
      </c>
      <c r="F19" s="22">
        <f t="shared" si="0"/>
        <v>22780.1</v>
      </c>
      <c r="G19" s="54"/>
    </row>
    <row r="20" spans="1:7" x14ac:dyDescent="0.35">
      <c r="A20" s="12">
        <v>17</v>
      </c>
      <c r="B20" s="13">
        <v>42125</v>
      </c>
      <c r="C20" s="14">
        <v>25345</v>
      </c>
      <c r="D20" s="14">
        <v>25203</v>
      </c>
      <c r="E20" s="14">
        <v>23968</v>
      </c>
      <c r="F20" s="22">
        <f t="shared" si="0"/>
        <v>23488.639999999999</v>
      </c>
      <c r="G20" s="54"/>
    </row>
    <row r="21" spans="1:7" x14ac:dyDescent="0.35">
      <c r="A21" s="12">
        <v>18</v>
      </c>
      <c r="B21" s="13">
        <v>42156</v>
      </c>
      <c r="C21" s="14">
        <v>25031</v>
      </c>
      <c r="D21" s="14">
        <v>24680</v>
      </c>
      <c r="E21" s="14">
        <v>24390</v>
      </c>
      <c r="F21" s="22">
        <f t="shared" si="0"/>
        <v>23902.2</v>
      </c>
      <c r="G21" s="54"/>
    </row>
    <row r="22" spans="1:7" x14ac:dyDescent="0.35">
      <c r="A22" s="12">
        <v>19</v>
      </c>
      <c r="B22" s="13">
        <v>42186</v>
      </c>
      <c r="C22" s="14">
        <v>26469</v>
      </c>
      <c r="D22" s="14">
        <v>26867</v>
      </c>
      <c r="E22" s="14">
        <v>25888</v>
      </c>
      <c r="F22" s="22">
        <f t="shared" si="0"/>
        <v>25370.239999999998</v>
      </c>
      <c r="G22" s="54"/>
    </row>
    <row r="23" spans="1:7" x14ac:dyDescent="0.35">
      <c r="A23" s="12">
        <v>20</v>
      </c>
      <c r="B23" s="13">
        <v>42217</v>
      </c>
      <c r="C23" s="14">
        <v>25851</v>
      </c>
      <c r="D23" s="14">
        <v>25635</v>
      </c>
      <c r="E23" s="14">
        <v>24957</v>
      </c>
      <c r="F23" s="22">
        <f t="shared" si="0"/>
        <v>24457.86</v>
      </c>
      <c r="G23" s="54"/>
    </row>
    <row r="24" spans="1:7" x14ac:dyDescent="0.35">
      <c r="A24" s="23">
        <v>21</v>
      </c>
      <c r="B24" s="24">
        <v>42248</v>
      </c>
      <c r="C24" s="14">
        <v>26537</v>
      </c>
      <c r="D24" s="14">
        <v>27471</v>
      </c>
      <c r="E24" s="14">
        <v>26754</v>
      </c>
      <c r="F24" s="22">
        <f t="shared" si="0"/>
        <v>26218.92</v>
      </c>
      <c r="G24" s="54"/>
    </row>
    <row r="25" spans="1:7" x14ac:dyDescent="0.35">
      <c r="A25" s="23">
        <v>22</v>
      </c>
      <c r="B25" s="24">
        <v>42278</v>
      </c>
      <c r="C25" s="14">
        <v>29146</v>
      </c>
      <c r="D25" s="14">
        <v>31451</v>
      </c>
      <c r="E25" s="14">
        <v>29823</v>
      </c>
      <c r="F25" s="22">
        <f t="shared" si="0"/>
        <v>29226.54</v>
      </c>
      <c r="G25" s="54"/>
    </row>
    <row r="26" spans="1:7" x14ac:dyDescent="0.35">
      <c r="A26" s="23">
        <v>23</v>
      </c>
      <c r="B26" s="24">
        <v>42309</v>
      </c>
      <c r="C26" s="14">
        <v>20832</v>
      </c>
      <c r="D26" s="14">
        <v>22260</v>
      </c>
      <c r="E26" s="14">
        <v>20663</v>
      </c>
      <c r="F26" s="22">
        <f t="shared" si="0"/>
        <v>20249.739999999998</v>
      </c>
      <c r="G26" s="54"/>
    </row>
    <row r="27" spans="1:7" s="1" customFormat="1" ht="15" thickBot="1" x14ac:dyDescent="0.4">
      <c r="A27" s="25">
        <v>24</v>
      </c>
      <c r="B27" s="26">
        <v>42339</v>
      </c>
      <c r="C27" s="17">
        <v>28204</v>
      </c>
      <c r="D27" s="17">
        <v>29999</v>
      </c>
      <c r="E27" s="17">
        <v>28493</v>
      </c>
      <c r="F27" s="27">
        <f t="shared" si="0"/>
        <v>27923.14</v>
      </c>
      <c r="G27" s="55"/>
    </row>
    <row r="28" spans="1:7" x14ac:dyDescent="0.35">
      <c r="A28" s="28">
        <v>25</v>
      </c>
      <c r="B28" s="29">
        <v>42370</v>
      </c>
      <c r="C28" s="20">
        <v>22015</v>
      </c>
      <c r="D28" s="20">
        <v>24007</v>
      </c>
      <c r="E28" s="20">
        <v>22839</v>
      </c>
      <c r="F28" s="21">
        <f t="shared" si="0"/>
        <v>22382.22</v>
      </c>
      <c r="G28" s="53">
        <f>SUM(F28:F39)</f>
        <v>301964.4599999999</v>
      </c>
    </row>
    <row r="29" spans="1:7" x14ac:dyDescent="0.35">
      <c r="A29" s="23">
        <v>26</v>
      </c>
      <c r="B29" s="24">
        <v>42401</v>
      </c>
      <c r="C29" s="14">
        <v>28537</v>
      </c>
      <c r="D29" s="14">
        <v>26779</v>
      </c>
      <c r="E29" s="14">
        <v>27731</v>
      </c>
      <c r="F29" s="22">
        <f t="shared" si="0"/>
        <v>27176.38</v>
      </c>
      <c r="G29" s="54"/>
    </row>
    <row r="30" spans="1:7" x14ac:dyDescent="0.35">
      <c r="A30" s="12">
        <v>27</v>
      </c>
      <c r="B30" s="13">
        <v>42430</v>
      </c>
      <c r="C30" s="14">
        <v>31183</v>
      </c>
      <c r="D30" s="14">
        <v>29648</v>
      </c>
      <c r="E30" s="14">
        <v>29043</v>
      </c>
      <c r="F30" s="22">
        <f t="shared" si="0"/>
        <v>28462.14</v>
      </c>
      <c r="G30" s="54"/>
    </row>
    <row r="31" spans="1:7" x14ac:dyDescent="0.35">
      <c r="A31" s="12">
        <v>28</v>
      </c>
      <c r="B31" s="13">
        <v>42461</v>
      </c>
      <c r="C31" s="14">
        <v>25946</v>
      </c>
      <c r="D31" s="14">
        <v>23892</v>
      </c>
      <c r="E31" s="14">
        <v>24717</v>
      </c>
      <c r="F31" s="22">
        <f t="shared" si="0"/>
        <v>24222.66</v>
      </c>
      <c r="G31" s="54"/>
    </row>
    <row r="32" spans="1:7" x14ac:dyDescent="0.35">
      <c r="A32" s="12">
        <v>29</v>
      </c>
      <c r="B32" s="13">
        <v>42491</v>
      </c>
      <c r="C32" s="14">
        <v>28019</v>
      </c>
      <c r="D32" s="14">
        <v>26436</v>
      </c>
      <c r="E32" s="14">
        <v>26108</v>
      </c>
      <c r="F32" s="22">
        <f t="shared" si="0"/>
        <v>25585.84</v>
      </c>
      <c r="G32" s="54"/>
    </row>
    <row r="33" spans="1:7" x14ac:dyDescent="0.35">
      <c r="A33" s="12">
        <v>30</v>
      </c>
      <c r="B33" s="13">
        <v>42522</v>
      </c>
      <c r="C33" s="14">
        <v>29062</v>
      </c>
      <c r="D33" s="14">
        <v>28050</v>
      </c>
      <c r="E33" s="14">
        <v>28287</v>
      </c>
      <c r="F33" s="22">
        <f t="shared" si="0"/>
        <v>27721.26</v>
      </c>
      <c r="G33" s="54"/>
    </row>
    <row r="34" spans="1:7" x14ac:dyDescent="0.35">
      <c r="A34" s="12">
        <v>31</v>
      </c>
      <c r="B34" s="13">
        <v>42552</v>
      </c>
      <c r="C34" s="14">
        <v>29308</v>
      </c>
      <c r="D34" s="14">
        <v>27383</v>
      </c>
      <c r="E34" s="14">
        <v>28635</v>
      </c>
      <c r="F34" s="22">
        <f t="shared" si="0"/>
        <v>28062.3</v>
      </c>
      <c r="G34" s="54"/>
    </row>
    <row r="35" spans="1:7" x14ac:dyDescent="0.35">
      <c r="A35" s="12">
        <v>32</v>
      </c>
      <c r="B35" s="13">
        <v>42583</v>
      </c>
      <c r="C35" s="14">
        <v>29056</v>
      </c>
      <c r="D35" s="14">
        <v>28329</v>
      </c>
      <c r="E35" s="14">
        <v>29122</v>
      </c>
      <c r="F35" s="22">
        <f t="shared" si="0"/>
        <v>28539.559999999998</v>
      </c>
      <c r="G35" s="54"/>
    </row>
    <row r="36" spans="1:7" x14ac:dyDescent="0.35">
      <c r="A36" s="12">
        <v>33</v>
      </c>
      <c r="B36" s="13">
        <v>42614</v>
      </c>
      <c r="C36" s="14">
        <v>30209</v>
      </c>
      <c r="D36" s="14">
        <v>29892</v>
      </c>
      <c r="E36" s="14">
        <v>29021</v>
      </c>
      <c r="F36" s="22">
        <f t="shared" si="0"/>
        <v>28440.579999999998</v>
      </c>
      <c r="G36" s="54"/>
    </row>
    <row r="37" spans="1:7" x14ac:dyDescent="0.35">
      <c r="A37" s="12">
        <v>34</v>
      </c>
      <c r="B37" s="13">
        <v>42644</v>
      </c>
      <c r="C37" s="14">
        <v>24756</v>
      </c>
      <c r="D37" s="14">
        <v>22233</v>
      </c>
      <c r="E37" s="14">
        <v>22700</v>
      </c>
      <c r="F37" s="22">
        <f t="shared" si="0"/>
        <v>22246</v>
      </c>
      <c r="G37" s="54"/>
    </row>
    <row r="38" spans="1:7" x14ac:dyDescent="0.35">
      <c r="A38" s="12">
        <v>35</v>
      </c>
      <c r="B38" s="13">
        <v>42675</v>
      </c>
      <c r="C38" s="14">
        <v>24856</v>
      </c>
      <c r="D38" s="14">
        <v>23479</v>
      </c>
      <c r="E38" s="14">
        <v>23901</v>
      </c>
      <c r="F38" s="22">
        <f t="shared" si="0"/>
        <v>23422.98</v>
      </c>
      <c r="G38" s="54"/>
    </row>
    <row r="39" spans="1:7" s="1" customFormat="1" ht="15" thickBot="1" x14ac:dyDescent="0.4">
      <c r="A39" s="15">
        <v>36</v>
      </c>
      <c r="B39" s="16">
        <v>42705</v>
      </c>
      <c r="C39" s="17">
        <v>17550</v>
      </c>
      <c r="D39" s="17">
        <v>17629</v>
      </c>
      <c r="E39" s="17">
        <v>16023</v>
      </c>
      <c r="F39" s="27">
        <f t="shared" si="0"/>
        <v>15702.539999999999</v>
      </c>
      <c r="G39" s="55"/>
    </row>
    <row r="40" spans="1:7" x14ac:dyDescent="0.35">
      <c r="A40" s="18">
        <v>37</v>
      </c>
      <c r="B40" s="19">
        <v>42736</v>
      </c>
      <c r="C40" s="20">
        <v>17550</v>
      </c>
      <c r="D40" s="20">
        <v>17629</v>
      </c>
      <c r="E40" s="20">
        <v>16023</v>
      </c>
      <c r="F40" s="21">
        <f t="shared" si="0"/>
        <v>15702.539999999999</v>
      </c>
      <c r="G40" s="53">
        <f>SUM(F40:F51)</f>
        <v>425386.63999999996</v>
      </c>
    </row>
    <row r="41" spans="1:7" x14ac:dyDescent="0.35">
      <c r="A41" s="12">
        <v>38</v>
      </c>
      <c r="B41" s="13">
        <v>42767</v>
      </c>
      <c r="C41" s="14">
        <v>32015</v>
      </c>
      <c r="D41" s="14">
        <v>33061</v>
      </c>
      <c r="E41" s="14">
        <v>31468</v>
      </c>
      <c r="F41" s="22">
        <f t="shared" si="0"/>
        <v>30838.639999999999</v>
      </c>
      <c r="G41" s="54"/>
    </row>
    <row r="42" spans="1:7" x14ac:dyDescent="0.35">
      <c r="A42" s="12">
        <v>39</v>
      </c>
      <c r="B42" s="13">
        <v>42795</v>
      </c>
      <c r="C42" s="14">
        <v>38370</v>
      </c>
      <c r="D42" s="14">
        <v>38412</v>
      </c>
      <c r="E42" s="14">
        <v>39542</v>
      </c>
      <c r="F42" s="22">
        <f t="shared" si="0"/>
        <v>38751.159999999996</v>
      </c>
      <c r="G42" s="54"/>
    </row>
    <row r="43" spans="1:7" x14ac:dyDescent="0.35">
      <c r="A43" s="12">
        <v>40</v>
      </c>
      <c r="B43" s="13">
        <v>42826</v>
      </c>
      <c r="C43" s="14">
        <v>39143</v>
      </c>
      <c r="D43" s="14">
        <v>41164</v>
      </c>
      <c r="E43" s="14">
        <v>40303</v>
      </c>
      <c r="F43" s="22">
        <f t="shared" si="0"/>
        <v>39496.94</v>
      </c>
      <c r="G43" s="54"/>
    </row>
    <row r="44" spans="1:7" x14ac:dyDescent="0.35">
      <c r="A44" s="12">
        <v>41</v>
      </c>
      <c r="B44" s="13">
        <v>42856</v>
      </c>
      <c r="C44" s="14">
        <v>41159</v>
      </c>
      <c r="D44" s="14">
        <v>42444</v>
      </c>
      <c r="E44" s="14">
        <v>41128</v>
      </c>
      <c r="F44" s="22">
        <f t="shared" si="0"/>
        <v>40305.440000000002</v>
      </c>
      <c r="G44" s="54"/>
    </row>
    <row r="45" spans="1:7" x14ac:dyDescent="0.35">
      <c r="A45" s="12">
        <v>42</v>
      </c>
      <c r="B45" s="13">
        <v>42887</v>
      </c>
      <c r="C45" s="14">
        <v>31152</v>
      </c>
      <c r="D45" s="14">
        <v>30398</v>
      </c>
      <c r="E45" s="14">
        <v>30653</v>
      </c>
      <c r="F45" s="22">
        <f t="shared" si="0"/>
        <v>30039.94</v>
      </c>
      <c r="G45" s="54"/>
    </row>
    <row r="46" spans="1:7" x14ac:dyDescent="0.35">
      <c r="A46" s="12">
        <v>43</v>
      </c>
      <c r="B46" s="13">
        <v>42917</v>
      </c>
      <c r="C46" s="14">
        <v>42704</v>
      </c>
      <c r="D46" s="14">
        <v>41200</v>
      </c>
      <c r="E46" s="14">
        <v>42521</v>
      </c>
      <c r="F46" s="22">
        <f t="shared" si="0"/>
        <v>41670.58</v>
      </c>
      <c r="G46" s="54"/>
    </row>
    <row r="47" spans="1:7" x14ac:dyDescent="0.35">
      <c r="A47" s="12">
        <v>44</v>
      </c>
      <c r="B47" s="13">
        <v>42948</v>
      </c>
      <c r="C47" s="14">
        <v>40136</v>
      </c>
      <c r="D47" s="14">
        <v>39644</v>
      </c>
      <c r="E47" s="14">
        <v>39123</v>
      </c>
      <c r="F47" s="22">
        <f t="shared" si="0"/>
        <v>38340.54</v>
      </c>
      <c r="G47" s="54"/>
    </row>
    <row r="48" spans="1:7" x14ac:dyDescent="0.35">
      <c r="A48" s="12">
        <v>45</v>
      </c>
      <c r="B48" s="13">
        <v>42979</v>
      </c>
      <c r="C48" s="14">
        <v>43478</v>
      </c>
      <c r="D48" s="14">
        <v>42559</v>
      </c>
      <c r="E48" s="14">
        <v>42619</v>
      </c>
      <c r="F48" s="22">
        <f t="shared" si="0"/>
        <v>41766.620000000003</v>
      </c>
      <c r="G48" s="54"/>
    </row>
    <row r="49" spans="1:7" x14ac:dyDescent="0.35">
      <c r="A49" s="12">
        <v>46</v>
      </c>
      <c r="B49" s="13">
        <v>43009</v>
      </c>
      <c r="C49" s="14">
        <v>34870</v>
      </c>
      <c r="D49" s="14">
        <v>34831</v>
      </c>
      <c r="E49" s="14">
        <v>35358</v>
      </c>
      <c r="F49" s="22">
        <f t="shared" si="0"/>
        <v>34650.839999999997</v>
      </c>
      <c r="G49" s="54"/>
    </row>
    <row r="50" spans="1:7" x14ac:dyDescent="0.35">
      <c r="A50" s="12">
        <v>47</v>
      </c>
      <c r="B50" s="13">
        <v>43040</v>
      </c>
      <c r="C50" s="14">
        <v>34870</v>
      </c>
      <c r="D50" s="14">
        <v>34831</v>
      </c>
      <c r="E50" s="14">
        <v>35358</v>
      </c>
      <c r="F50" s="22">
        <f t="shared" si="0"/>
        <v>34650.839999999997</v>
      </c>
      <c r="G50" s="54"/>
    </row>
    <row r="51" spans="1:7" s="1" customFormat="1" ht="15" thickBot="1" x14ac:dyDescent="0.4">
      <c r="A51" s="15">
        <v>48</v>
      </c>
      <c r="B51" s="16">
        <v>43070</v>
      </c>
      <c r="C51" s="30">
        <v>40139</v>
      </c>
      <c r="D51" s="30">
        <v>40716</v>
      </c>
      <c r="E51" s="30">
        <v>39972</v>
      </c>
      <c r="F51" s="27">
        <f t="shared" si="0"/>
        <v>39172.559999999998</v>
      </c>
      <c r="G51" s="55"/>
    </row>
    <row r="52" spans="1:7" x14ac:dyDescent="0.35">
      <c r="A52" s="18">
        <v>49</v>
      </c>
      <c r="B52" s="19">
        <v>43101</v>
      </c>
      <c r="C52" s="20">
        <v>33801</v>
      </c>
      <c r="D52" s="20">
        <v>33009</v>
      </c>
      <c r="E52" s="20">
        <v>33624</v>
      </c>
      <c r="F52" s="21">
        <f t="shared" si="0"/>
        <v>32951.519999999997</v>
      </c>
      <c r="G52" s="53">
        <f>SUM(F52:F63)</f>
        <v>455678.43999999994</v>
      </c>
    </row>
    <row r="53" spans="1:7" x14ac:dyDescent="0.35">
      <c r="A53" s="12">
        <v>50</v>
      </c>
      <c r="B53" s="13">
        <v>43132</v>
      </c>
      <c r="C53" s="14">
        <v>31029</v>
      </c>
      <c r="D53" s="14">
        <v>30982</v>
      </c>
      <c r="E53" s="14">
        <v>31274</v>
      </c>
      <c r="F53" s="22">
        <f t="shared" si="0"/>
        <v>30648.52</v>
      </c>
      <c r="G53" s="54"/>
    </row>
    <row r="54" spans="1:7" x14ac:dyDescent="0.35">
      <c r="A54" s="12">
        <v>51</v>
      </c>
      <c r="B54" s="13">
        <v>43160</v>
      </c>
      <c r="C54" s="14">
        <v>42426</v>
      </c>
      <c r="D54" s="14">
        <v>41571</v>
      </c>
      <c r="E54" s="14">
        <v>41677</v>
      </c>
      <c r="F54" s="22">
        <f t="shared" si="0"/>
        <v>40843.46</v>
      </c>
      <c r="G54" s="54"/>
    </row>
    <row r="55" spans="1:7" x14ac:dyDescent="0.35">
      <c r="A55" s="12">
        <v>52</v>
      </c>
      <c r="B55" s="13">
        <v>43191</v>
      </c>
      <c r="C55" s="14">
        <v>44101</v>
      </c>
      <c r="D55" s="14">
        <v>43155</v>
      </c>
      <c r="E55" s="14">
        <v>42876</v>
      </c>
      <c r="F55" s="22">
        <f t="shared" si="0"/>
        <v>42018.479999999996</v>
      </c>
      <c r="G55" s="54"/>
    </row>
    <row r="56" spans="1:7" x14ac:dyDescent="0.35">
      <c r="A56" s="12">
        <v>53</v>
      </c>
      <c r="B56" s="13">
        <v>43221</v>
      </c>
      <c r="C56" s="14">
        <v>42327</v>
      </c>
      <c r="D56" s="14">
        <v>41962</v>
      </c>
      <c r="E56" s="14">
        <v>41965</v>
      </c>
      <c r="F56" s="22">
        <f t="shared" si="0"/>
        <v>41125.699999999997</v>
      </c>
      <c r="G56" s="54"/>
    </row>
    <row r="57" spans="1:7" x14ac:dyDescent="0.35">
      <c r="A57" s="12">
        <v>54</v>
      </c>
      <c r="B57" s="13">
        <v>43252</v>
      </c>
      <c r="C57" s="14">
        <v>39273</v>
      </c>
      <c r="D57" s="14">
        <v>38404</v>
      </c>
      <c r="E57" s="14">
        <v>38319</v>
      </c>
      <c r="F57" s="22">
        <f t="shared" si="0"/>
        <v>37552.620000000003</v>
      </c>
      <c r="G57" s="54"/>
    </row>
    <row r="58" spans="1:7" x14ac:dyDescent="0.35">
      <c r="A58" s="12">
        <v>55</v>
      </c>
      <c r="B58" s="13">
        <v>43282</v>
      </c>
      <c r="C58" s="14">
        <v>41999</v>
      </c>
      <c r="D58" s="14">
        <v>40974</v>
      </c>
      <c r="E58" s="14">
        <v>41240</v>
      </c>
      <c r="F58" s="22">
        <f t="shared" si="0"/>
        <v>40415.199999999997</v>
      </c>
      <c r="G58" s="54"/>
    </row>
    <row r="59" spans="1:7" x14ac:dyDescent="0.35">
      <c r="A59" s="12">
        <v>56</v>
      </c>
      <c r="B59" s="13">
        <v>43313</v>
      </c>
      <c r="C59" s="14">
        <v>37398</v>
      </c>
      <c r="D59" s="14">
        <v>36245</v>
      </c>
      <c r="E59" s="14">
        <v>36278</v>
      </c>
      <c r="F59" s="22">
        <f t="shared" si="0"/>
        <v>35552.44</v>
      </c>
      <c r="G59" s="54"/>
    </row>
    <row r="60" spans="1:7" x14ac:dyDescent="0.35">
      <c r="A60" s="12">
        <v>57</v>
      </c>
      <c r="B60" s="13">
        <v>43344</v>
      </c>
      <c r="C60" s="14">
        <v>41728</v>
      </c>
      <c r="D60" s="14">
        <v>40538</v>
      </c>
      <c r="E60" s="14">
        <v>40761</v>
      </c>
      <c r="F60" s="22">
        <f t="shared" si="0"/>
        <v>39945.78</v>
      </c>
      <c r="G60" s="54"/>
    </row>
    <row r="61" spans="1:7" x14ac:dyDescent="0.35">
      <c r="A61" s="12">
        <v>58</v>
      </c>
      <c r="B61" s="13">
        <v>43374</v>
      </c>
      <c r="C61" s="14">
        <v>43010</v>
      </c>
      <c r="D61" s="14">
        <v>41948</v>
      </c>
      <c r="E61" s="14">
        <v>42110</v>
      </c>
      <c r="F61" s="22">
        <f t="shared" si="0"/>
        <v>41267.799999999996</v>
      </c>
      <c r="G61" s="54"/>
    </row>
    <row r="62" spans="1:7" x14ac:dyDescent="0.35">
      <c r="A62" s="12">
        <v>59</v>
      </c>
      <c r="B62" s="13">
        <v>43405</v>
      </c>
      <c r="C62" s="14">
        <v>31549</v>
      </c>
      <c r="D62" s="14">
        <v>30416</v>
      </c>
      <c r="E62" s="14">
        <v>30828</v>
      </c>
      <c r="F62" s="22">
        <f t="shared" si="0"/>
        <v>30211.439999999999</v>
      </c>
      <c r="G62" s="54"/>
    </row>
    <row r="63" spans="1:7" s="1" customFormat="1" ht="15" thickBot="1" x14ac:dyDescent="0.4">
      <c r="A63" s="15">
        <v>60</v>
      </c>
      <c r="B63" s="16">
        <v>43435</v>
      </c>
      <c r="C63" s="17">
        <v>44744</v>
      </c>
      <c r="D63" s="17">
        <v>43600</v>
      </c>
      <c r="E63" s="17">
        <v>44026</v>
      </c>
      <c r="F63" s="27">
        <f t="shared" si="0"/>
        <v>43145.479999999996</v>
      </c>
      <c r="G63" s="55"/>
    </row>
    <row r="64" spans="1:7" x14ac:dyDescent="0.35">
      <c r="A64" s="18">
        <v>61</v>
      </c>
      <c r="B64" s="19">
        <v>43466</v>
      </c>
      <c r="C64" s="20">
        <v>37771</v>
      </c>
      <c r="D64" s="20">
        <v>37086</v>
      </c>
      <c r="E64" s="20">
        <v>37050</v>
      </c>
      <c r="F64" s="21">
        <f t="shared" si="0"/>
        <v>36309</v>
      </c>
      <c r="G64" s="53">
        <f>SUM(F64:F75)</f>
        <v>506962.81999999995</v>
      </c>
    </row>
    <row r="65" spans="1:7" x14ac:dyDescent="0.35">
      <c r="A65" s="12">
        <v>62</v>
      </c>
      <c r="B65" s="13">
        <v>43497</v>
      </c>
      <c r="C65" s="14">
        <v>38015</v>
      </c>
      <c r="D65" s="14">
        <v>37361</v>
      </c>
      <c r="E65" s="14">
        <v>37107</v>
      </c>
      <c r="F65" s="22">
        <f t="shared" si="0"/>
        <v>36364.86</v>
      </c>
      <c r="G65" s="54"/>
    </row>
    <row r="66" spans="1:7" x14ac:dyDescent="0.35">
      <c r="A66" s="12">
        <v>63</v>
      </c>
      <c r="B66" s="13">
        <v>43525</v>
      </c>
      <c r="C66" s="14">
        <v>42336</v>
      </c>
      <c r="D66" s="14">
        <v>41364</v>
      </c>
      <c r="E66" s="14">
        <v>41904</v>
      </c>
      <c r="F66" s="22">
        <f t="shared" si="0"/>
        <v>41065.919999999998</v>
      </c>
      <c r="G66" s="54"/>
    </row>
    <row r="67" spans="1:7" x14ac:dyDescent="0.35">
      <c r="A67" s="12">
        <v>64</v>
      </c>
      <c r="B67" s="13">
        <v>43556</v>
      </c>
      <c r="C67" s="14">
        <v>39373</v>
      </c>
      <c r="D67" s="14">
        <v>38532</v>
      </c>
      <c r="E67" s="14">
        <v>38669</v>
      </c>
      <c r="F67" s="22">
        <f t="shared" si="0"/>
        <v>37895.620000000003</v>
      </c>
      <c r="G67" s="54"/>
    </row>
    <row r="68" spans="1:7" x14ac:dyDescent="0.35">
      <c r="A68" s="12">
        <v>65</v>
      </c>
      <c r="B68" s="13">
        <v>43586</v>
      </c>
      <c r="C68" s="14">
        <v>43067</v>
      </c>
      <c r="D68" s="14">
        <v>41979</v>
      </c>
      <c r="E68" s="14">
        <v>42188</v>
      </c>
      <c r="F68" s="22">
        <f t="shared" si="0"/>
        <v>41344.239999999998</v>
      </c>
      <c r="G68" s="54"/>
    </row>
    <row r="69" spans="1:7" x14ac:dyDescent="0.35">
      <c r="A69" s="12">
        <v>66</v>
      </c>
      <c r="B69" s="13">
        <v>43617</v>
      </c>
      <c r="C69" s="14">
        <v>39424</v>
      </c>
      <c r="D69" s="14">
        <v>38717</v>
      </c>
      <c r="E69" s="14">
        <v>38735</v>
      </c>
      <c r="F69" s="22">
        <f t="shared" ref="F69:F132" si="1">E69*0.98</f>
        <v>37960.300000000003</v>
      </c>
      <c r="G69" s="54"/>
    </row>
    <row r="70" spans="1:7" x14ac:dyDescent="0.35">
      <c r="A70" s="12">
        <v>67</v>
      </c>
      <c r="B70" s="13">
        <v>43647</v>
      </c>
      <c r="C70" s="14">
        <v>52326</v>
      </c>
      <c r="D70" s="14">
        <v>51665</v>
      </c>
      <c r="E70" s="14">
        <v>51334</v>
      </c>
      <c r="F70" s="22">
        <f t="shared" si="1"/>
        <v>50307.32</v>
      </c>
      <c r="G70" s="54"/>
    </row>
    <row r="71" spans="1:7" x14ac:dyDescent="0.35">
      <c r="A71" s="12">
        <v>68</v>
      </c>
      <c r="B71" s="13">
        <v>43678</v>
      </c>
      <c r="C71" s="14">
        <v>49101</v>
      </c>
      <c r="D71" s="14">
        <v>47909</v>
      </c>
      <c r="E71" s="14">
        <v>48633</v>
      </c>
      <c r="F71" s="22">
        <f t="shared" si="1"/>
        <v>47660.34</v>
      </c>
      <c r="G71" s="54"/>
    </row>
    <row r="72" spans="1:7" x14ac:dyDescent="0.35">
      <c r="A72" s="12">
        <v>69</v>
      </c>
      <c r="B72" s="13">
        <v>43709</v>
      </c>
      <c r="C72" s="14">
        <v>50390</v>
      </c>
      <c r="D72" s="14">
        <v>50002</v>
      </c>
      <c r="E72" s="14">
        <v>50058</v>
      </c>
      <c r="F72" s="22">
        <f t="shared" si="1"/>
        <v>49056.84</v>
      </c>
      <c r="G72" s="54"/>
    </row>
    <row r="73" spans="1:7" x14ac:dyDescent="0.35">
      <c r="A73" s="12">
        <v>70</v>
      </c>
      <c r="B73" s="13">
        <v>43739</v>
      </c>
      <c r="C73" s="14">
        <v>39611</v>
      </c>
      <c r="D73" s="14">
        <v>38638</v>
      </c>
      <c r="E73" s="14">
        <v>37225</v>
      </c>
      <c r="F73" s="22">
        <f t="shared" si="1"/>
        <v>36480.5</v>
      </c>
      <c r="G73" s="54"/>
    </row>
    <row r="74" spans="1:7" x14ac:dyDescent="0.35">
      <c r="A74" s="12">
        <v>71</v>
      </c>
      <c r="B74" s="13">
        <v>43770</v>
      </c>
      <c r="C74" s="14">
        <v>47364</v>
      </c>
      <c r="D74" s="14">
        <v>46634</v>
      </c>
      <c r="E74" s="14">
        <v>47077</v>
      </c>
      <c r="F74" s="22">
        <f t="shared" si="1"/>
        <v>46135.46</v>
      </c>
      <c r="G74" s="54"/>
    </row>
    <row r="75" spans="1:7" ht="15" thickBot="1" x14ac:dyDescent="0.4">
      <c r="A75" s="12">
        <v>72</v>
      </c>
      <c r="B75" s="13">
        <v>43800</v>
      </c>
      <c r="C75" s="14">
        <v>47862</v>
      </c>
      <c r="D75" s="14">
        <v>47603</v>
      </c>
      <c r="E75" s="14">
        <v>47329</v>
      </c>
      <c r="F75" s="22">
        <f t="shared" si="1"/>
        <v>46382.42</v>
      </c>
      <c r="G75" s="55"/>
    </row>
    <row r="76" spans="1:7" x14ac:dyDescent="0.35">
      <c r="A76" s="12">
        <v>73</v>
      </c>
      <c r="B76" s="13">
        <v>43831</v>
      </c>
      <c r="C76" s="14">
        <v>40517</v>
      </c>
      <c r="D76" s="14">
        <v>39937</v>
      </c>
      <c r="E76" s="14">
        <v>40209</v>
      </c>
      <c r="F76" s="22">
        <f t="shared" si="1"/>
        <v>39404.82</v>
      </c>
      <c r="G76" s="69">
        <f>SUM(F76:F87)</f>
        <v>400637.56025999982</v>
      </c>
    </row>
    <row r="77" spans="1:7" x14ac:dyDescent="0.35">
      <c r="A77" s="12">
        <v>74</v>
      </c>
      <c r="B77" s="13">
        <v>43862</v>
      </c>
      <c r="C77" s="14">
        <v>36339</v>
      </c>
      <c r="D77" s="14">
        <v>35082</v>
      </c>
      <c r="E77" s="14">
        <v>35789</v>
      </c>
      <c r="F77" s="22">
        <f t="shared" si="1"/>
        <v>35073.22</v>
      </c>
      <c r="G77" s="70"/>
    </row>
    <row r="78" spans="1:7" x14ac:dyDescent="0.35">
      <c r="A78" s="12">
        <v>75</v>
      </c>
      <c r="B78" s="13">
        <v>43891</v>
      </c>
      <c r="C78" s="14">
        <v>29289.759999999951</v>
      </c>
      <c r="D78" s="14">
        <v>28781.254999999968</v>
      </c>
      <c r="E78" s="14">
        <v>29069.459000000032</v>
      </c>
      <c r="F78" s="22">
        <f t="shared" si="1"/>
        <v>28488.06982000003</v>
      </c>
      <c r="G78" s="70"/>
    </row>
    <row r="79" spans="1:7" s="11" customFormat="1" x14ac:dyDescent="0.35">
      <c r="A79" s="23">
        <v>76</v>
      </c>
      <c r="B79" s="24">
        <v>43922</v>
      </c>
      <c r="C79" s="31">
        <v>0</v>
      </c>
      <c r="D79" s="31">
        <v>0</v>
      </c>
      <c r="E79" s="31">
        <v>0</v>
      </c>
      <c r="F79" s="32">
        <f t="shared" si="1"/>
        <v>0</v>
      </c>
      <c r="G79" s="70"/>
    </row>
    <row r="80" spans="1:7" x14ac:dyDescent="0.35">
      <c r="A80" s="12">
        <v>77</v>
      </c>
      <c r="B80" s="13">
        <v>43952</v>
      </c>
      <c r="C80" s="14">
        <v>14900.510000000038</v>
      </c>
      <c r="D80" s="14">
        <v>16036.81400000002</v>
      </c>
      <c r="E80" s="14">
        <v>12180.893999999966</v>
      </c>
      <c r="F80" s="22">
        <f t="shared" si="1"/>
        <v>11937.276119999966</v>
      </c>
      <c r="G80" s="70"/>
    </row>
    <row r="81" spans="1:7" x14ac:dyDescent="0.35">
      <c r="A81" s="12">
        <v>78</v>
      </c>
      <c r="B81" s="13">
        <v>43983</v>
      </c>
      <c r="C81" s="14">
        <v>33053.48000000004</v>
      </c>
      <c r="D81" s="14">
        <v>31897.493000000024</v>
      </c>
      <c r="E81" s="14">
        <v>32429.078999999918</v>
      </c>
      <c r="F81" s="22">
        <f t="shared" si="1"/>
        <v>31780.49741999992</v>
      </c>
      <c r="G81" s="70"/>
    </row>
    <row r="82" spans="1:7" x14ac:dyDescent="0.35">
      <c r="A82" s="12">
        <v>79</v>
      </c>
      <c r="B82" s="13">
        <v>44013</v>
      </c>
      <c r="C82" s="14">
        <v>43421.039999999994</v>
      </c>
      <c r="D82" s="14">
        <v>43832.883000000053</v>
      </c>
      <c r="E82" s="14">
        <v>43143.859999999877</v>
      </c>
      <c r="F82" s="22">
        <f t="shared" si="1"/>
        <v>42280.982799999882</v>
      </c>
      <c r="G82" s="70"/>
    </row>
    <row r="83" spans="1:7" x14ac:dyDescent="0.35">
      <c r="A83" s="12">
        <v>80</v>
      </c>
      <c r="B83" s="13">
        <v>44044</v>
      </c>
      <c r="C83" s="14">
        <v>37754.049999999974</v>
      </c>
      <c r="D83" s="14">
        <v>37077.334999999999</v>
      </c>
      <c r="E83" s="14">
        <v>37572.836000000032</v>
      </c>
      <c r="F83" s="22">
        <f t="shared" si="1"/>
        <v>36821.37928000003</v>
      </c>
      <c r="G83" s="70"/>
    </row>
    <row r="84" spans="1:7" x14ac:dyDescent="0.35">
      <c r="A84" s="12">
        <v>81</v>
      </c>
      <c r="B84" s="13">
        <v>44075</v>
      </c>
      <c r="C84" s="14">
        <v>43972.50999999998</v>
      </c>
      <c r="D84" s="14">
        <v>44185.09499999995</v>
      </c>
      <c r="E84" s="14">
        <v>43803.955000000075</v>
      </c>
      <c r="F84" s="22">
        <f t="shared" si="1"/>
        <v>42927.875900000072</v>
      </c>
      <c r="G84" s="70"/>
    </row>
    <row r="85" spans="1:7" x14ac:dyDescent="0.35">
      <c r="A85" s="12">
        <v>82</v>
      </c>
      <c r="B85" s="13">
        <v>44105</v>
      </c>
      <c r="C85" s="14">
        <v>47296.470000000088</v>
      </c>
      <c r="D85" s="14">
        <v>47098.871999999981</v>
      </c>
      <c r="E85" s="14">
        <v>47016.209000000061</v>
      </c>
      <c r="F85" s="22">
        <f t="shared" si="1"/>
        <v>46075.884820000058</v>
      </c>
      <c r="G85" s="70"/>
    </row>
    <row r="86" spans="1:7" x14ac:dyDescent="0.35">
      <c r="A86" s="12">
        <v>83</v>
      </c>
      <c r="B86" s="13">
        <v>44136</v>
      </c>
      <c r="C86" s="14">
        <v>36754.179999999935</v>
      </c>
      <c r="D86" s="14">
        <v>36745.263000000014</v>
      </c>
      <c r="E86" s="14">
        <v>36639.119999999908</v>
      </c>
      <c r="F86" s="22">
        <f t="shared" si="1"/>
        <v>35906.337599999912</v>
      </c>
      <c r="G86" s="70"/>
    </row>
    <row r="87" spans="1:7" ht="15" thickBot="1" x14ac:dyDescent="0.4">
      <c r="A87" s="12">
        <v>84</v>
      </c>
      <c r="B87" s="13">
        <v>44166</v>
      </c>
      <c r="C87" s="14">
        <v>51052.389999999956</v>
      </c>
      <c r="D87" s="14">
        <v>51034.958999999988</v>
      </c>
      <c r="E87" s="14">
        <v>50960.424999999967</v>
      </c>
      <c r="F87" s="22">
        <f t="shared" si="1"/>
        <v>49941.216499999966</v>
      </c>
      <c r="G87" s="71"/>
    </row>
    <row r="88" spans="1:7" x14ac:dyDescent="0.35">
      <c r="A88" s="12">
        <v>85</v>
      </c>
      <c r="B88" s="13">
        <v>44197</v>
      </c>
      <c r="C88" s="14">
        <v>39079.809000000023</v>
      </c>
      <c r="D88" s="14">
        <v>39079.410000000062</v>
      </c>
      <c r="E88" s="14">
        <v>39008.151999999987</v>
      </c>
      <c r="F88" s="22">
        <f t="shared" si="1"/>
        <v>38227.988959999988</v>
      </c>
      <c r="G88" s="69">
        <f>SUM(F88:F99)</f>
        <v>495842.34350000002</v>
      </c>
    </row>
    <row r="89" spans="1:7" x14ac:dyDescent="0.35">
      <c r="A89" s="12">
        <v>86</v>
      </c>
      <c r="B89" s="13">
        <v>44228</v>
      </c>
      <c r="C89" s="14">
        <v>47209.309000000023</v>
      </c>
      <c r="D89" s="14">
        <v>47307.579999999958</v>
      </c>
      <c r="E89" s="14">
        <v>47154.077000000165</v>
      </c>
      <c r="F89" s="22">
        <f t="shared" si="1"/>
        <v>46210.995460000158</v>
      </c>
      <c r="G89" s="70"/>
    </row>
    <row r="90" spans="1:7" x14ac:dyDescent="0.35">
      <c r="A90" s="12">
        <v>87</v>
      </c>
      <c r="B90" s="13">
        <v>44256</v>
      </c>
      <c r="C90" s="14">
        <v>52113.952999999994</v>
      </c>
      <c r="D90" s="14">
        <v>52150.89</v>
      </c>
      <c r="E90" s="14">
        <v>51976.345999999881</v>
      </c>
      <c r="F90" s="22">
        <f t="shared" si="1"/>
        <v>50936.819079999885</v>
      </c>
      <c r="G90" s="70"/>
    </row>
    <row r="91" spans="1:7" x14ac:dyDescent="0.35">
      <c r="A91" s="12">
        <v>88</v>
      </c>
      <c r="B91" s="13">
        <v>44287</v>
      </c>
      <c r="C91" s="14">
        <v>46053</v>
      </c>
      <c r="D91" s="14">
        <v>46041</v>
      </c>
      <c r="E91" s="14">
        <v>45747</v>
      </c>
      <c r="F91" s="22">
        <f t="shared" si="1"/>
        <v>44832.06</v>
      </c>
      <c r="G91" s="70"/>
    </row>
    <row r="92" spans="1:7" s="11" customFormat="1" x14ac:dyDescent="0.35">
      <c r="A92" s="23">
        <v>89</v>
      </c>
      <c r="B92" s="24">
        <v>44317</v>
      </c>
      <c r="C92" s="31">
        <v>0</v>
      </c>
      <c r="D92" s="31">
        <v>0</v>
      </c>
      <c r="E92" s="31">
        <v>0</v>
      </c>
      <c r="F92" s="32">
        <f t="shared" si="1"/>
        <v>0</v>
      </c>
      <c r="G92" s="70"/>
    </row>
    <row r="93" spans="1:7" x14ac:dyDescent="0.35">
      <c r="A93" s="12">
        <v>90</v>
      </c>
      <c r="B93" s="13">
        <v>44348</v>
      </c>
      <c r="C93" s="14">
        <v>21351</v>
      </c>
      <c r="D93" s="14">
        <v>21387</v>
      </c>
      <c r="E93" s="14">
        <v>21094</v>
      </c>
      <c r="F93" s="22">
        <f t="shared" si="1"/>
        <v>20672.12</v>
      </c>
      <c r="G93" s="70"/>
    </row>
    <row r="94" spans="1:7" x14ac:dyDescent="0.35">
      <c r="A94" s="12">
        <v>91</v>
      </c>
      <c r="B94" s="13">
        <v>44378</v>
      </c>
      <c r="C94" s="14">
        <v>50693</v>
      </c>
      <c r="D94" s="14">
        <v>50700</v>
      </c>
      <c r="E94" s="14">
        <v>50507</v>
      </c>
      <c r="F94" s="22">
        <f t="shared" si="1"/>
        <v>49496.86</v>
      </c>
      <c r="G94" s="70"/>
    </row>
    <row r="95" spans="1:7" x14ac:dyDescent="0.35">
      <c r="A95" s="12">
        <v>92</v>
      </c>
      <c r="B95" s="13">
        <v>44409</v>
      </c>
      <c r="C95" s="14">
        <v>53783</v>
      </c>
      <c r="D95" s="14">
        <v>53809</v>
      </c>
      <c r="E95" s="14">
        <v>53546</v>
      </c>
      <c r="F95" s="22">
        <f t="shared" si="1"/>
        <v>52475.08</v>
      </c>
      <c r="G95" s="70"/>
    </row>
    <row r="96" spans="1:7" x14ac:dyDescent="0.35">
      <c r="A96" s="12">
        <v>93</v>
      </c>
      <c r="B96" s="13">
        <v>44440</v>
      </c>
      <c r="C96" s="14">
        <v>50085</v>
      </c>
      <c r="D96" s="14">
        <v>50094</v>
      </c>
      <c r="E96" s="14">
        <v>49698</v>
      </c>
      <c r="F96" s="22">
        <f t="shared" si="1"/>
        <v>48704.04</v>
      </c>
      <c r="G96" s="70"/>
    </row>
    <row r="97" spans="1:7" x14ac:dyDescent="0.35">
      <c r="A97" s="12">
        <v>94</v>
      </c>
      <c r="B97" s="13">
        <v>44470</v>
      </c>
      <c r="C97" s="14">
        <v>46388</v>
      </c>
      <c r="D97" s="14">
        <v>52493</v>
      </c>
      <c r="E97" s="14">
        <v>52644</v>
      </c>
      <c r="F97" s="22">
        <f t="shared" si="1"/>
        <v>51591.12</v>
      </c>
      <c r="G97" s="70"/>
    </row>
    <row r="98" spans="1:7" x14ac:dyDescent="0.35">
      <c r="A98" s="12">
        <v>95</v>
      </c>
      <c r="B98" s="13">
        <v>44501</v>
      </c>
      <c r="C98" s="14">
        <v>40127</v>
      </c>
      <c r="D98" s="14">
        <v>40197</v>
      </c>
      <c r="E98" s="14">
        <v>40084</v>
      </c>
      <c r="F98" s="22">
        <f t="shared" si="1"/>
        <v>39282.32</v>
      </c>
      <c r="G98" s="70"/>
    </row>
    <row r="99" spans="1:7" ht="15" thickBot="1" x14ac:dyDescent="0.4">
      <c r="A99" s="12">
        <v>96</v>
      </c>
      <c r="B99" s="13">
        <v>44531</v>
      </c>
      <c r="C99" s="14">
        <v>54707</v>
      </c>
      <c r="D99" s="14">
        <v>54673</v>
      </c>
      <c r="E99" s="14">
        <v>54503</v>
      </c>
      <c r="F99" s="22">
        <f t="shared" si="1"/>
        <v>53412.94</v>
      </c>
      <c r="G99" s="71"/>
    </row>
    <row r="100" spans="1:7" x14ac:dyDescent="0.35">
      <c r="A100" s="12">
        <v>97</v>
      </c>
      <c r="B100" s="13">
        <v>44562</v>
      </c>
      <c r="C100" s="14">
        <v>42769</v>
      </c>
      <c r="D100" s="14">
        <v>42722</v>
      </c>
      <c r="E100" s="14">
        <v>42649</v>
      </c>
      <c r="F100" s="22">
        <f t="shared" si="1"/>
        <v>41796.019999999997</v>
      </c>
      <c r="G100" s="53">
        <f>SUM(F100:F111)</f>
        <v>481351.79399999999</v>
      </c>
    </row>
    <row r="101" spans="1:7" x14ac:dyDescent="0.35">
      <c r="A101" s="12">
        <v>98</v>
      </c>
      <c r="B101" s="13">
        <v>44593</v>
      </c>
      <c r="C101" s="14">
        <v>44652</v>
      </c>
      <c r="D101" s="14">
        <v>44679</v>
      </c>
      <c r="E101" s="14">
        <v>44625</v>
      </c>
      <c r="F101" s="22">
        <f t="shared" si="1"/>
        <v>43732.5</v>
      </c>
      <c r="G101" s="54"/>
    </row>
    <row r="102" spans="1:7" x14ac:dyDescent="0.35">
      <c r="A102" s="12">
        <v>99</v>
      </c>
      <c r="B102" s="13">
        <v>44621</v>
      </c>
      <c r="C102" s="14">
        <v>48577</v>
      </c>
      <c r="D102" s="14">
        <v>48631</v>
      </c>
      <c r="E102" s="14">
        <v>48519</v>
      </c>
      <c r="F102" s="22">
        <f t="shared" si="1"/>
        <v>47548.62</v>
      </c>
      <c r="G102" s="54"/>
    </row>
    <row r="103" spans="1:7" x14ac:dyDescent="0.35">
      <c r="A103" s="12">
        <v>100</v>
      </c>
      <c r="B103" s="13">
        <v>44652</v>
      </c>
      <c r="C103" s="14">
        <v>44721</v>
      </c>
      <c r="D103" s="14">
        <v>44744</v>
      </c>
      <c r="E103" s="14">
        <v>44627</v>
      </c>
      <c r="F103" s="22">
        <f t="shared" si="1"/>
        <v>43734.46</v>
      </c>
      <c r="G103" s="54"/>
    </row>
    <row r="104" spans="1:7" x14ac:dyDescent="0.35">
      <c r="A104" s="12">
        <v>101</v>
      </c>
      <c r="B104" s="13">
        <v>44682</v>
      </c>
      <c r="C104" s="14">
        <v>40973</v>
      </c>
      <c r="D104" s="14">
        <v>40957</v>
      </c>
      <c r="E104" s="14">
        <v>40849</v>
      </c>
      <c r="F104" s="22">
        <f t="shared" si="1"/>
        <v>40032.019999999997</v>
      </c>
      <c r="G104" s="54"/>
    </row>
    <row r="105" spans="1:7" x14ac:dyDescent="0.35">
      <c r="A105" s="12">
        <v>102</v>
      </c>
      <c r="B105" s="13">
        <v>44713</v>
      </c>
      <c r="C105" s="14">
        <v>44591</v>
      </c>
      <c r="D105" s="14">
        <v>44621</v>
      </c>
      <c r="E105" s="14">
        <v>44498</v>
      </c>
      <c r="F105" s="22">
        <f t="shared" si="1"/>
        <v>43608.04</v>
      </c>
      <c r="G105" s="54"/>
    </row>
    <row r="106" spans="1:7" x14ac:dyDescent="0.35">
      <c r="A106" s="12">
        <v>103</v>
      </c>
      <c r="B106" s="13">
        <v>44743</v>
      </c>
      <c r="C106" s="14">
        <v>38489</v>
      </c>
      <c r="D106" s="14">
        <v>38588</v>
      </c>
      <c r="E106" s="14">
        <v>38465</v>
      </c>
      <c r="F106" s="22">
        <f t="shared" si="1"/>
        <v>37695.699999999997</v>
      </c>
      <c r="G106" s="54"/>
    </row>
    <row r="107" spans="1:7" x14ac:dyDescent="0.35">
      <c r="A107" s="12">
        <v>104</v>
      </c>
      <c r="B107" s="13">
        <v>44774</v>
      </c>
      <c r="C107" s="14">
        <v>46705</v>
      </c>
      <c r="D107" s="14">
        <v>46749</v>
      </c>
      <c r="E107" s="14">
        <v>46698</v>
      </c>
      <c r="F107" s="22">
        <f t="shared" si="1"/>
        <v>45764.04</v>
      </c>
      <c r="G107" s="54"/>
    </row>
    <row r="108" spans="1:7" x14ac:dyDescent="0.35">
      <c r="A108" s="12">
        <v>105</v>
      </c>
      <c r="B108" s="13">
        <v>44805</v>
      </c>
      <c r="C108" s="14">
        <v>44331</v>
      </c>
      <c r="D108" s="14">
        <v>44281</v>
      </c>
      <c r="E108" s="14">
        <v>44238</v>
      </c>
      <c r="F108" s="22">
        <f t="shared" si="1"/>
        <v>43353.24</v>
      </c>
      <c r="G108" s="54"/>
    </row>
    <row r="109" spans="1:7" x14ac:dyDescent="0.35">
      <c r="A109" s="12">
        <v>106</v>
      </c>
      <c r="B109" s="13">
        <v>44835</v>
      </c>
      <c r="C109" s="14">
        <v>23735</v>
      </c>
      <c r="D109" s="14">
        <v>23652</v>
      </c>
      <c r="E109" s="14">
        <v>23282</v>
      </c>
      <c r="F109" s="22">
        <f t="shared" si="1"/>
        <v>22816.36</v>
      </c>
      <c r="G109" s="54"/>
    </row>
    <row r="110" spans="1:7" x14ac:dyDescent="0.35">
      <c r="A110" s="12">
        <v>107</v>
      </c>
      <c r="B110" s="13">
        <v>44866</v>
      </c>
      <c r="C110" s="14">
        <v>34649</v>
      </c>
      <c r="D110" s="14">
        <v>34684</v>
      </c>
      <c r="E110" s="14">
        <v>34621</v>
      </c>
      <c r="F110" s="22">
        <f t="shared" si="1"/>
        <v>33928.58</v>
      </c>
      <c r="G110" s="54"/>
    </row>
    <row r="111" spans="1:7" ht="15" thickBot="1" x14ac:dyDescent="0.4">
      <c r="A111" s="12">
        <v>108</v>
      </c>
      <c r="B111" s="13">
        <v>44896</v>
      </c>
      <c r="C111" s="14">
        <v>38217</v>
      </c>
      <c r="D111" s="14">
        <v>38188.300000000047</v>
      </c>
      <c r="E111" s="14">
        <v>38104.300000000047</v>
      </c>
      <c r="F111" s="22">
        <f t="shared" si="1"/>
        <v>37342.214000000044</v>
      </c>
      <c r="G111" s="55"/>
    </row>
    <row r="112" spans="1:7" x14ac:dyDescent="0.35">
      <c r="A112" s="12">
        <v>109</v>
      </c>
      <c r="B112" s="13">
        <v>44927</v>
      </c>
      <c r="C112" s="14">
        <v>25742</v>
      </c>
      <c r="D112" s="14">
        <v>25762</v>
      </c>
      <c r="E112" s="14">
        <v>25705</v>
      </c>
      <c r="F112" s="14">
        <f t="shared" si="1"/>
        <v>25190.899999999998</v>
      </c>
      <c r="G112" s="56">
        <f>SUM(F112:F123)</f>
        <v>539776.48340000003</v>
      </c>
    </row>
    <row r="113" spans="1:7" x14ac:dyDescent="0.35">
      <c r="A113" s="12">
        <v>110</v>
      </c>
      <c r="B113" s="13">
        <v>44958</v>
      </c>
      <c r="C113" s="14">
        <v>33917</v>
      </c>
      <c r="D113" s="14">
        <v>33949</v>
      </c>
      <c r="E113" s="14">
        <v>33847</v>
      </c>
      <c r="F113" s="14">
        <f t="shared" si="1"/>
        <v>33170.06</v>
      </c>
      <c r="G113" s="57"/>
    </row>
    <row r="114" spans="1:7" x14ac:dyDescent="0.35">
      <c r="A114" s="12">
        <v>111</v>
      </c>
      <c r="B114" s="13">
        <v>44986</v>
      </c>
      <c r="C114" s="14">
        <v>48370</v>
      </c>
      <c r="D114" s="14">
        <v>48348.329999999958</v>
      </c>
      <c r="E114" s="14">
        <v>48202.329999999958</v>
      </c>
      <c r="F114" s="14">
        <f t="shared" si="1"/>
        <v>47238.283399999957</v>
      </c>
      <c r="G114" s="57"/>
    </row>
    <row r="115" spans="1:7" x14ac:dyDescent="0.35">
      <c r="A115" s="12">
        <v>112</v>
      </c>
      <c r="B115" s="13">
        <v>45017</v>
      </c>
      <c r="C115" s="14">
        <v>44719</v>
      </c>
      <c r="D115" s="14">
        <v>44765</v>
      </c>
      <c r="E115" s="14">
        <v>44673</v>
      </c>
      <c r="F115" s="14">
        <f t="shared" si="1"/>
        <v>43779.54</v>
      </c>
      <c r="G115" s="57"/>
    </row>
    <row r="116" spans="1:7" x14ac:dyDescent="0.35">
      <c r="A116" s="12">
        <v>113</v>
      </c>
      <c r="B116" s="13">
        <v>45047</v>
      </c>
      <c r="C116" s="14">
        <v>44699</v>
      </c>
      <c r="D116" s="14">
        <v>44714</v>
      </c>
      <c r="E116" s="14">
        <v>44624</v>
      </c>
      <c r="F116" s="14">
        <f t="shared" si="1"/>
        <v>43731.519999999997</v>
      </c>
      <c r="G116" s="57"/>
    </row>
    <row r="117" spans="1:7" x14ac:dyDescent="0.35">
      <c r="A117" s="12">
        <v>114</v>
      </c>
      <c r="B117" s="13">
        <v>45078</v>
      </c>
      <c r="C117" s="14">
        <v>39260</v>
      </c>
      <c r="D117" s="14">
        <v>39278</v>
      </c>
      <c r="E117" s="14">
        <v>39189</v>
      </c>
      <c r="F117" s="14">
        <f t="shared" si="1"/>
        <v>38405.22</v>
      </c>
      <c r="G117" s="57"/>
    </row>
    <row r="118" spans="1:7" x14ac:dyDescent="0.35">
      <c r="A118" s="12">
        <v>115</v>
      </c>
      <c r="B118" s="13">
        <v>45108</v>
      </c>
      <c r="C118" s="14">
        <v>40008</v>
      </c>
      <c r="D118" s="14">
        <v>40040</v>
      </c>
      <c r="E118" s="14">
        <v>39923</v>
      </c>
      <c r="F118" s="14">
        <f t="shared" si="1"/>
        <v>39124.54</v>
      </c>
      <c r="G118" s="57"/>
    </row>
    <row r="119" spans="1:7" x14ac:dyDescent="0.35">
      <c r="A119" s="12">
        <v>116</v>
      </c>
      <c r="B119" s="13">
        <v>45139</v>
      </c>
      <c r="C119" s="14">
        <v>46571</v>
      </c>
      <c r="D119" s="14">
        <v>46553</v>
      </c>
      <c r="E119" s="14">
        <v>46434</v>
      </c>
      <c r="F119" s="14">
        <f t="shared" si="1"/>
        <v>45505.32</v>
      </c>
      <c r="G119" s="57"/>
    </row>
    <row r="120" spans="1:7" x14ac:dyDescent="0.35">
      <c r="A120" s="12">
        <v>117</v>
      </c>
      <c r="B120" s="13">
        <v>45170</v>
      </c>
      <c r="C120" s="14">
        <v>55832</v>
      </c>
      <c r="D120" s="14">
        <v>55862</v>
      </c>
      <c r="E120" s="14">
        <v>55743</v>
      </c>
      <c r="F120" s="14">
        <f t="shared" si="1"/>
        <v>54628.14</v>
      </c>
      <c r="G120" s="57"/>
    </row>
    <row r="121" spans="1:7" x14ac:dyDescent="0.35">
      <c r="A121" s="12">
        <v>118</v>
      </c>
      <c r="B121" s="13">
        <v>45200</v>
      </c>
      <c r="C121" s="14">
        <v>59783</v>
      </c>
      <c r="D121" s="14">
        <v>59824</v>
      </c>
      <c r="E121" s="14">
        <v>59762</v>
      </c>
      <c r="F121" s="14">
        <f t="shared" si="1"/>
        <v>58566.76</v>
      </c>
      <c r="G121" s="57"/>
    </row>
    <row r="122" spans="1:7" x14ac:dyDescent="0.35">
      <c r="A122" s="12">
        <v>119</v>
      </c>
      <c r="B122" s="13">
        <v>45231</v>
      </c>
      <c r="C122" s="14">
        <v>49556</v>
      </c>
      <c r="D122" s="14">
        <v>49565</v>
      </c>
      <c r="E122" s="14">
        <v>49480</v>
      </c>
      <c r="F122" s="14">
        <f t="shared" si="1"/>
        <v>48490.400000000001</v>
      </c>
      <c r="G122" s="57"/>
    </row>
    <row r="123" spans="1:7" x14ac:dyDescent="0.35">
      <c r="A123" s="12">
        <v>120</v>
      </c>
      <c r="B123" s="13">
        <v>45261</v>
      </c>
      <c r="C123" s="14">
        <v>63357</v>
      </c>
      <c r="D123" s="14">
        <v>63338</v>
      </c>
      <c r="E123" s="14">
        <v>63210</v>
      </c>
      <c r="F123" s="14">
        <f t="shared" si="1"/>
        <v>61945.799999999996</v>
      </c>
      <c r="G123" s="58"/>
    </row>
    <row r="124" spans="1:7" x14ac:dyDescent="0.35">
      <c r="A124" s="12">
        <v>121</v>
      </c>
      <c r="B124" s="13">
        <v>45292</v>
      </c>
      <c r="C124" s="14">
        <v>48544</v>
      </c>
      <c r="D124" s="14">
        <v>48484</v>
      </c>
      <c r="E124" s="14">
        <v>48448</v>
      </c>
      <c r="F124" s="14">
        <f t="shared" si="1"/>
        <v>47479.040000000001</v>
      </c>
      <c r="G124" s="59">
        <f>SUM(F124:F135)</f>
        <v>724032.82000000007</v>
      </c>
    </row>
    <row r="125" spans="1:7" x14ac:dyDescent="0.35">
      <c r="A125" s="12">
        <v>122</v>
      </c>
      <c r="B125" s="13">
        <v>45323</v>
      </c>
      <c r="C125" s="14">
        <v>55999</v>
      </c>
      <c r="D125" s="14">
        <v>56036</v>
      </c>
      <c r="E125" s="14">
        <v>56049</v>
      </c>
      <c r="F125" s="14">
        <f t="shared" si="1"/>
        <v>54928.02</v>
      </c>
      <c r="G125" s="57"/>
    </row>
    <row r="126" spans="1:7" x14ac:dyDescent="0.35">
      <c r="A126" s="12">
        <v>123</v>
      </c>
      <c r="B126" s="13">
        <v>45352</v>
      </c>
      <c r="C126" s="14">
        <v>68113</v>
      </c>
      <c r="D126" s="14">
        <v>68078</v>
      </c>
      <c r="E126" s="14">
        <v>68130</v>
      </c>
      <c r="F126" s="14">
        <f t="shared" si="1"/>
        <v>66767.399999999994</v>
      </c>
      <c r="G126" s="57"/>
    </row>
    <row r="127" spans="1:7" x14ac:dyDescent="0.35">
      <c r="A127" s="12">
        <v>124</v>
      </c>
      <c r="B127" s="13">
        <v>45383</v>
      </c>
      <c r="C127" s="14">
        <v>60325</v>
      </c>
      <c r="D127" s="14">
        <v>60314</v>
      </c>
      <c r="E127" s="14">
        <v>60298</v>
      </c>
      <c r="F127" s="14">
        <f t="shared" si="1"/>
        <v>59092.04</v>
      </c>
      <c r="G127" s="57"/>
    </row>
    <row r="128" spans="1:7" x14ac:dyDescent="0.35">
      <c r="A128" s="12">
        <v>125</v>
      </c>
      <c r="B128" s="13">
        <v>45413</v>
      </c>
      <c r="C128" s="14">
        <v>67211</v>
      </c>
      <c r="D128" s="14">
        <v>67162</v>
      </c>
      <c r="E128" s="14">
        <v>67185</v>
      </c>
      <c r="F128" s="14">
        <f t="shared" si="1"/>
        <v>65841.3</v>
      </c>
      <c r="G128" s="57"/>
    </row>
    <row r="129" spans="1:7" x14ac:dyDescent="0.35">
      <c r="A129" s="12">
        <v>126</v>
      </c>
      <c r="B129" s="13">
        <v>45444</v>
      </c>
      <c r="C129" s="14">
        <v>63030</v>
      </c>
      <c r="D129" s="14">
        <v>63116</v>
      </c>
      <c r="E129" s="14">
        <v>63037</v>
      </c>
      <c r="F129" s="14">
        <f t="shared" si="1"/>
        <v>61776.26</v>
      </c>
      <c r="G129" s="57"/>
    </row>
    <row r="130" spans="1:7" x14ac:dyDescent="0.35">
      <c r="A130" s="12">
        <v>127</v>
      </c>
      <c r="B130" s="13">
        <v>45474</v>
      </c>
      <c r="C130" s="14">
        <v>65375</v>
      </c>
      <c r="D130" s="14">
        <v>65454</v>
      </c>
      <c r="E130" s="14">
        <v>64906</v>
      </c>
      <c r="F130" s="14">
        <f t="shared" si="1"/>
        <v>63607.88</v>
      </c>
      <c r="G130" s="57"/>
    </row>
    <row r="131" spans="1:7" x14ac:dyDescent="0.35">
      <c r="A131" s="12">
        <v>128</v>
      </c>
      <c r="B131" s="13">
        <v>45505</v>
      </c>
      <c r="C131" s="14">
        <v>60289</v>
      </c>
      <c r="D131" s="14">
        <v>60236</v>
      </c>
      <c r="E131" s="14">
        <v>60237</v>
      </c>
      <c r="F131" s="14">
        <f t="shared" si="1"/>
        <v>59032.26</v>
      </c>
      <c r="G131" s="57"/>
    </row>
    <row r="132" spans="1:7" x14ac:dyDescent="0.35">
      <c r="A132" s="12">
        <v>129</v>
      </c>
      <c r="B132" s="13">
        <v>45536</v>
      </c>
      <c r="C132" s="14">
        <v>65527</v>
      </c>
      <c r="D132" s="14">
        <v>65507</v>
      </c>
      <c r="E132" s="14">
        <v>65445</v>
      </c>
      <c r="F132" s="14">
        <f t="shared" si="1"/>
        <v>64136.1</v>
      </c>
      <c r="G132" s="57"/>
    </row>
    <row r="133" spans="1:7" x14ac:dyDescent="0.35">
      <c r="A133" s="12">
        <v>130</v>
      </c>
      <c r="B133" s="13">
        <v>45566</v>
      </c>
      <c r="C133" s="14">
        <v>60409</v>
      </c>
      <c r="D133" s="14">
        <v>60387</v>
      </c>
      <c r="E133" s="14">
        <v>60460</v>
      </c>
      <c r="F133" s="14">
        <f t="shared" ref="F133:F135" si="2">E133*0.98</f>
        <v>59250.799999999996</v>
      </c>
      <c r="G133" s="57"/>
    </row>
    <row r="134" spans="1:7" x14ac:dyDescent="0.35">
      <c r="A134" s="12">
        <v>131</v>
      </c>
      <c r="B134" s="13">
        <v>45597</v>
      </c>
      <c r="C134" s="14">
        <v>58213</v>
      </c>
      <c r="D134" s="14">
        <v>58190</v>
      </c>
      <c r="E134" s="14">
        <v>58206</v>
      </c>
      <c r="F134" s="14">
        <f t="shared" si="2"/>
        <v>57041.88</v>
      </c>
      <c r="G134" s="57"/>
    </row>
    <row r="135" spans="1:7" x14ac:dyDescent="0.35">
      <c r="A135" s="12">
        <v>132</v>
      </c>
      <c r="B135" s="13">
        <v>45627</v>
      </c>
      <c r="C135" s="14">
        <v>66506</v>
      </c>
      <c r="D135" s="14">
        <v>66420</v>
      </c>
      <c r="E135" s="14">
        <v>66408</v>
      </c>
      <c r="F135" s="14">
        <f t="shared" si="2"/>
        <v>65079.839999999997</v>
      </c>
      <c r="G135" s="58"/>
    </row>
    <row r="136" spans="1:7" x14ac:dyDescent="0.35">
      <c r="A136" s="33"/>
      <c r="B136" s="34" t="s">
        <v>6</v>
      </c>
      <c r="C136" s="35">
        <f>SUM(C4:C135)</f>
        <v>4944624.2309999997</v>
      </c>
      <c r="D136" s="35">
        <f t="shared" ref="D136:E136" si="3">SUM(D4:D135)</f>
        <v>4916579.6790000005</v>
      </c>
      <c r="E136" s="35">
        <f t="shared" si="3"/>
        <v>4909093.3649999993</v>
      </c>
      <c r="F136" s="35">
        <f>SUM(F4:F135)</f>
        <v>4810911.4976999993</v>
      </c>
      <c r="G136" s="36">
        <f>SUM(G4:G135)</f>
        <v>4810911.4977000002</v>
      </c>
    </row>
  </sheetData>
  <mergeCells count="14">
    <mergeCell ref="A1:F1"/>
    <mergeCell ref="A2:F2"/>
    <mergeCell ref="G4:G15"/>
    <mergeCell ref="G16:G27"/>
    <mergeCell ref="G28:G39"/>
    <mergeCell ref="G100:G111"/>
    <mergeCell ref="G112:G123"/>
    <mergeCell ref="G124:G135"/>
    <mergeCell ref="I5:Q11"/>
    <mergeCell ref="G40:G51"/>
    <mergeCell ref="G52:G63"/>
    <mergeCell ref="G64:G75"/>
    <mergeCell ref="G76:G87"/>
    <mergeCell ref="G88:G9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C4DC-DC5B-4E45-A163-D6FEF7DB389D}">
  <dimension ref="D3:E18"/>
  <sheetViews>
    <sheetView tabSelected="1" topLeftCell="A8" workbookViewId="0">
      <selection activeCell="G11" sqref="G11"/>
    </sheetView>
  </sheetViews>
  <sheetFormatPr defaultRowHeight="14.5" x14ac:dyDescent="0.35"/>
  <cols>
    <col min="4" max="4" width="17.90625" customWidth="1"/>
    <col min="5" max="5" width="23.54296875" customWidth="1"/>
  </cols>
  <sheetData>
    <row r="3" spans="4:5" ht="15" thickBot="1" x14ac:dyDescent="0.4"/>
    <row r="4" spans="4:5" x14ac:dyDescent="0.35">
      <c r="D4" s="75" t="s">
        <v>8</v>
      </c>
      <c r="E4" s="2" t="s">
        <v>9</v>
      </c>
    </row>
    <row r="5" spans="4:5" x14ac:dyDescent="0.35">
      <c r="D5" s="76"/>
      <c r="E5" s="3" t="s">
        <v>10</v>
      </c>
    </row>
    <row r="6" spans="4:5" ht="15" thickBot="1" x14ac:dyDescent="0.4">
      <c r="D6" s="77"/>
      <c r="E6" s="4" t="s">
        <v>11</v>
      </c>
    </row>
    <row r="7" spans="4:5" ht="15" thickBot="1" x14ac:dyDescent="0.4">
      <c r="D7" s="8">
        <v>2014</v>
      </c>
      <c r="E7" s="9">
        <f>RoUs!G4</f>
        <v>202449.69654</v>
      </c>
    </row>
    <row r="8" spans="4:5" ht="15" thickBot="1" x14ac:dyDescent="0.4">
      <c r="D8" s="5">
        <v>2015</v>
      </c>
      <c r="E8" s="9">
        <f>RoUs!G16</f>
        <v>276828.43999999994</v>
      </c>
    </row>
    <row r="9" spans="4:5" ht="15" thickBot="1" x14ac:dyDescent="0.4">
      <c r="D9" s="5">
        <v>2016</v>
      </c>
      <c r="E9" s="9">
        <f>RoUs!G28</f>
        <v>301964.4599999999</v>
      </c>
    </row>
    <row r="10" spans="4:5" ht="15" thickBot="1" x14ac:dyDescent="0.4">
      <c r="D10" s="5">
        <v>2017</v>
      </c>
      <c r="E10" s="9">
        <f>RoUs!G40</f>
        <v>425386.63999999996</v>
      </c>
    </row>
    <row r="11" spans="4:5" ht="15" thickBot="1" x14ac:dyDescent="0.4">
      <c r="D11" s="5">
        <v>2018</v>
      </c>
      <c r="E11" s="9">
        <f>RoUs!G52</f>
        <v>455678.43999999994</v>
      </c>
    </row>
    <row r="12" spans="4:5" ht="15" thickBot="1" x14ac:dyDescent="0.4">
      <c r="D12" s="5">
        <v>2019</v>
      </c>
      <c r="E12" s="9">
        <f>RoUs!G64</f>
        <v>506962.81999999995</v>
      </c>
    </row>
    <row r="13" spans="4:5" ht="15" thickBot="1" x14ac:dyDescent="0.4">
      <c r="D13" s="5">
        <v>2020</v>
      </c>
      <c r="E13" s="9">
        <f>RoUs!G76</f>
        <v>400637.56025999982</v>
      </c>
    </row>
    <row r="14" spans="4:5" ht="15" thickBot="1" x14ac:dyDescent="0.4">
      <c r="D14" s="5">
        <v>2021</v>
      </c>
      <c r="E14" s="9">
        <f>RoUs!G88</f>
        <v>495842.34350000002</v>
      </c>
    </row>
    <row r="15" spans="4:5" ht="15" thickBot="1" x14ac:dyDescent="0.4">
      <c r="D15" s="5">
        <v>2022</v>
      </c>
      <c r="E15" s="9">
        <f>RoUs!G100</f>
        <v>481351.79399999999</v>
      </c>
    </row>
    <row r="16" spans="4:5" ht="15" thickBot="1" x14ac:dyDescent="0.4">
      <c r="D16" s="5">
        <v>2023</v>
      </c>
      <c r="E16" s="9">
        <f>RoUs!G112</f>
        <v>539776.48340000003</v>
      </c>
    </row>
    <row r="17" spans="4:5" ht="15" thickBot="1" x14ac:dyDescent="0.4">
      <c r="D17" s="6">
        <v>2024</v>
      </c>
      <c r="E17" s="9">
        <f>RoUs!G124</f>
        <v>724032.82000000007</v>
      </c>
    </row>
    <row r="18" spans="4:5" ht="15" thickBot="1" x14ac:dyDescent="0.4">
      <c r="D18" s="7" t="s">
        <v>12</v>
      </c>
      <c r="E18" s="10">
        <f>SUM(E7:E17)</f>
        <v>4810911.4977000002</v>
      </c>
    </row>
  </sheetData>
  <mergeCells count="1">
    <mergeCell ref="D4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RoUs</vt:lpstr>
      <vt:lpstr>Year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Sarashi Mahanta</dc:creator>
  <cp:lastModifiedBy>Sarashi Mahanta</cp:lastModifiedBy>
  <dcterms:created xsi:type="dcterms:W3CDTF">2025-03-25T10:10:09Z</dcterms:created>
  <dcterms:modified xsi:type="dcterms:W3CDTF">2025-04-05T05:09:28Z</dcterms:modified>
</cp:coreProperties>
</file>